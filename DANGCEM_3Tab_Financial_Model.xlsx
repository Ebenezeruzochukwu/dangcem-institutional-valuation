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\Documents\"/>
    </mc:Choice>
  </mc:AlternateContent>
  <xr:revisionPtr revIDLastSave="0" documentId="13_ncr:1_{7EEEBB1D-3668-4395-99AD-245D5F61F450}" xr6:coauthVersionLast="47" xr6:coauthVersionMax="47" xr10:uidLastSave="{00000000-0000-0000-0000-000000000000}"/>
  <bookViews>
    <workbookView xWindow="-110" yWindow="-110" windowWidth="19420" windowHeight="10300" activeTab="2" xr2:uid="{88C4B98B-9034-42E8-A355-55A0F7BF5852}"/>
  </bookViews>
  <sheets>
    <sheet name="Hist_Financials" sheetId="3" r:id="rId1"/>
    <sheet name="Forecast_Model" sheetId="4" r:id="rId2"/>
    <sheet name="Comp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4" l="1"/>
  <c r="D63" i="4"/>
  <c r="E63" i="4"/>
  <c r="F63" i="4"/>
  <c r="B63" i="4"/>
  <c r="C62" i="4"/>
  <c r="D62" i="4"/>
  <c r="E62" i="4"/>
  <c r="F62" i="4"/>
  <c r="B62" i="4"/>
  <c r="H59" i="4"/>
  <c r="I59" i="4"/>
  <c r="J59" i="4"/>
  <c r="K59" i="4"/>
  <c r="G59" i="4"/>
  <c r="J58" i="4"/>
  <c r="H58" i="4"/>
  <c r="I58" i="4"/>
  <c r="K58" i="4"/>
  <c r="G58" i="4"/>
  <c r="C59" i="4"/>
  <c r="D59" i="4"/>
  <c r="E59" i="4"/>
  <c r="F59" i="4"/>
  <c r="B59" i="4"/>
  <c r="C58" i="4"/>
  <c r="D58" i="4"/>
  <c r="E58" i="4"/>
  <c r="F58" i="4"/>
  <c r="B58" i="4"/>
  <c r="E16" i="5"/>
  <c r="C16" i="5"/>
  <c r="D16" i="5"/>
  <c r="B16" i="5"/>
  <c r="E15" i="5"/>
  <c r="D15" i="5"/>
  <c r="C15" i="5"/>
  <c r="B15" i="5"/>
  <c r="C14" i="5"/>
  <c r="E14" i="5"/>
  <c r="D14" i="5"/>
  <c r="B14" i="5"/>
  <c r="D8" i="5"/>
  <c r="C8" i="5"/>
  <c r="B8" i="5"/>
  <c r="C5" i="5"/>
  <c r="D5" i="5"/>
  <c r="B5" i="5"/>
  <c r="G53" i="4"/>
  <c r="D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E49" i="4"/>
  <c r="F49" i="4"/>
  <c r="G49" i="4"/>
  <c r="C49" i="4"/>
  <c r="C44" i="4"/>
  <c r="C40" i="4"/>
  <c r="C38" i="4"/>
  <c r="C33" i="4"/>
  <c r="C37" i="4" s="1"/>
  <c r="C39" i="4"/>
  <c r="C36" i="4"/>
  <c r="C35" i="4"/>
  <c r="D30" i="4"/>
  <c r="E30" i="4"/>
  <c r="F30" i="4"/>
  <c r="G30" i="4"/>
  <c r="C30" i="4"/>
  <c r="D29" i="4"/>
  <c r="E29" i="4"/>
  <c r="F29" i="4"/>
  <c r="G29" i="4"/>
  <c r="C29" i="4"/>
  <c r="D26" i="4"/>
  <c r="E26" i="4"/>
  <c r="F26" i="4"/>
  <c r="G26" i="4"/>
  <c r="C26" i="4"/>
  <c r="D25" i="4"/>
  <c r="E25" i="4"/>
  <c r="F25" i="4"/>
  <c r="G25" i="4"/>
  <c r="C25" i="4"/>
  <c r="D23" i="4"/>
  <c r="E23" i="4"/>
  <c r="F23" i="4"/>
  <c r="G23" i="4"/>
  <c r="C23" i="4"/>
  <c r="D21" i="4"/>
  <c r="E21" i="4"/>
  <c r="F21" i="4"/>
  <c r="G21" i="4"/>
  <c r="C21" i="4"/>
  <c r="D18" i="4"/>
  <c r="E18" i="4"/>
  <c r="F18" i="4"/>
  <c r="G18" i="4"/>
  <c r="C18" i="4"/>
  <c r="D17" i="4"/>
  <c r="E17" i="4"/>
  <c r="F17" i="4"/>
  <c r="G17" i="4"/>
  <c r="C17" i="4"/>
  <c r="D15" i="4"/>
  <c r="E15" i="4"/>
  <c r="F15" i="4"/>
  <c r="G15" i="4"/>
  <c r="C15" i="4"/>
  <c r="D14" i="4"/>
  <c r="E14" i="4"/>
  <c r="F14" i="4"/>
  <c r="G14" i="4"/>
  <c r="C14" i="4"/>
  <c r="D12" i="4"/>
  <c r="E12" i="4"/>
  <c r="F12" i="4"/>
  <c r="G12" i="4"/>
  <c r="C12" i="4"/>
  <c r="D11" i="4"/>
  <c r="E11" i="4"/>
  <c r="F11" i="4"/>
  <c r="G11" i="4"/>
  <c r="C11" i="4"/>
  <c r="F8" i="4"/>
  <c r="E8" i="4"/>
  <c r="G8" i="4"/>
  <c r="D8" i="4"/>
  <c r="E6" i="4"/>
  <c r="F6" i="4"/>
  <c r="G6" i="4" s="1"/>
  <c r="D6" i="4"/>
  <c r="G4" i="4"/>
  <c r="F4" i="4"/>
  <c r="E4" i="4"/>
  <c r="D4" i="4"/>
  <c r="C4" i="4"/>
  <c r="C6" i="4"/>
  <c r="N15" i="3"/>
  <c r="N14" i="3"/>
  <c r="N2" i="3"/>
  <c r="J16" i="3"/>
  <c r="I16" i="3"/>
  <c r="H16" i="3"/>
  <c r="J9" i="3"/>
  <c r="I9" i="3"/>
  <c r="H9" i="3"/>
  <c r="K9" i="3"/>
  <c r="J4" i="3"/>
  <c r="J5" i="3"/>
  <c r="I5" i="3"/>
  <c r="H5" i="3"/>
  <c r="K4" i="3"/>
  <c r="I4" i="3"/>
  <c r="H4" i="3"/>
  <c r="D15" i="3"/>
  <c r="C15" i="3"/>
  <c r="B15" i="3"/>
  <c r="F15" i="3"/>
  <c r="E15" i="3"/>
  <c r="L4" i="3"/>
  <c r="L9" i="3"/>
  <c r="K5" i="3"/>
  <c r="L16" i="3"/>
  <c r="K16" i="3"/>
  <c r="L5" i="3"/>
  <c r="C8" i="4" l="1"/>
  <c r="C42" i="4" l="1"/>
</calcChain>
</file>

<file path=xl/sharedStrings.xml><?xml version="1.0" encoding="utf-8"?>
<sst xmlns="http://schemas.openxmlformats.org/spreadsheetml/2006/main" count="185" uniqueCount="138">
  <si>
    <t>Metric (₦ Millions)</t>
  </si>
  <si>
    <t>FY 2023</t>
  </si>
  <si>
    <t>FY 2024</t>
  </si>
  <si>
    <t>Primary Source / Note Ref</t>
  </si>
  <si>
    <t>Revenue</t>
  </si>
  <si>
    <t>Cost of Sales</t>
  </si>
  <si>
    <t>Gross Profit</t>
  </si>
  <si>
    <t>Operating Profit (EBIT)</t>
  </si>
  <si>
    <t>Finance Costs</t>
  </si>
  <si>
    <t>Profit for the Year (PAT)</t>
  </si>
  <si>
    <t>Cash &amp; Cash Equivalents</t>
  </si>
  <si>
    <t>Total Debt (Current + Non-Current)</t>
  </si>
  <si>
    <t>Total Equity</t>
  </si>
  <si>
    <t>Net Cash from Operating Activities</t>
  </si>
  <si>
    <t>Acquisition of PPE (Capex)</t>
  </si>
  <si>
    <t>Dividends Paid</t>
  </si>
  <si>
    <t>Statement of Profit or Loss, Note 5</t>
  </si>
  <si>
    <t>Statement of Profit or Loss, Note 7</t>
  </si>
  <si>
    <t>Statement of Profit or Loss, Subtotal</t>
  </si>
  <si>
    <t>Statement of Profit or Loss (Profit from operating activities)</t>
  </si>
  <si>
    <t>Statement of Profit or Loss, Note 10.2</t>
  </si>
  <si>
    <t>Statement of Profit or Loss, Bottom line</t>
  </si>
  <si>
    <t>Statement of Financial Position, Note 32.1</t>
  </si>
  <si>
    <t>Statement of Financial Position, Note 26</t>
  </si>
  <si>
    <t>Statement of Financial Position, Total Equity line</t>
  </si>
  <si>
    <t>Statement of Cash Flows, Operating Activities</t>
  </si>
  <si>
    <t>Statement of Cash Flows, Investing Activities</t>
  </si>
  <si>
    <t>Statement of Cash Flows, Financing Activities</t>
  </si>
  <si>
    <t>Total Cement Volume Sold (Mt)</t>
  </si>
  <si>
    <t>Annual Report Operational Review / IR Presentation</t>
  </si>
  <si>
    <t>Average Selling Price (₦ / Tonne)</t>
  </si>
  <si>
    <t>Calculated: Group Revenue / Volume Sold</t>
  </si>
  <si>
    <t>EBITDA (Clean Operating)</t>
  </si>
  <si>
    <t>Operating Profit + D&amp;A (IR Highlights)</t>
  </si>
  <si>
    <t>FY 2023 Ratio</t>
  </si>
  <si>
    <t>FY 2024 Ratio</t>
  </si>
  <si>
    <t>FY 2020</t>
  </si>
  <si>
    <t>FY 2021</t>
  </si>
  <si>
    <t>FY 2022</t>
  </si>
  <si>
    <t>FY 2020 Ratio</t>
  </si>
  <si>
    <t>FY 2021 Ratio</t>
  </si>
  <si>
    <t>FY 2022 Ratio</t>
  </si>
  <si>
    <t>5-Year CAGR (2020-2024)</t>
  </si>
  <si>
    <t>Driver / Metric</t>
  </si>
  <si>
    <t>Operating Drivers</t>
  </si>
  <si>
    <t>Cement Volume Growth Rate</t>
  </si>
  <si>
    <t>sales Volume (Mt)</t>
  </si>
  <si>
    <t>Realized Price Growth Rate (ASP Inflation)</t>
  </si>
  <si>
    <t>Average Realized Price (₦ / Tonne)</t>
  </si>
  <si>
    <t>Revenue Forecast</t>
  </si>
  <si>
    <t>Projected Group Revenue</t>
  </si>
  <si>
    <t>Unit</t>
  </si>
  <si>
    <t>%</t>
  </si>
  <si>
    <t>Mt</t>
  </si>
  <si>
    <t>₦</t>
  </si>
  <si>
    <t>₦ Millions</t>
  </si>
  <si>
    <t>FY25F</t>
  </si>
  <si>
    <t>FY26F</t>
  </si>
  <si>
    <t>FY27F</t>
  </si>
  <si>
    <t>FY28F</t>
  </si>
  <si>
    <t>FY29F</t>
  </si>
  <si>
    <t>Operating Expenses &amp; Earnings</t>
  </si>
  <si>
    <t>Cost of Sales (% of Revenue)</t>
  </si>
  <si>
    <t>Operating Expenses (SG&amp;A % of Revenue)</t>
  </si>
  <si>
    <t>Operating Expenses (SG&amp;A)</t>
  </si>
  <si>
    <t>operating Profit (EBIT)</t>
  </si>
  <si>
    <t>Effective Corporate Tax Rate</t>
  </si>
  <si>
    <t>Taxes on Operating Profit (NOPAT adjustment)</t>
  </si>
  <si>
    <t>Net Operating Profit After Tax (NOPAT)</t>
  </si>
  <si>
    <t>Free Cash Flow to Firm (FCFF)</t>
  </si>
  <si>
    <t>Depreciation &amp; Amortisation (% of Revenue)</t>
  </si>
  <si>
    <t>Depreciation &amp; Amortisation (D&amp;A)</t>
  </si>
  <si>
    <t>Capital Expenditure (% of Revenue)</t>
  </si>
  <si>
    <t>Capital Expenditure (Capex)</t>
  </si>
  <si>
    <t>Change in Net Working Capital (ΔNWC % of Rev)</t>
  </si>
  <si>
    <t>Change in Net Working Capital (ΔNWC)</t>
  </si>
  <si>
    <t>Discounted Period (t in years)</t>
  </si>
  <si>
    <t>Weighted Average Cost of Capital (WACC)</t>
  </si>
  <si>
    <t>Discount Factor</t>
  </si>
  <si>
    <t>Present Value of Projected FCFF (PV)</t>
  </si>
  <si>
    <t>Year</t>
  </si>
  <si>
    <t>Multiple</t>
  </si>
  <si>
    <t>VALUATION SUMMARY &amp; INTRINSIC VALUE</t>
  </si>
  <si>
    <t>Cumulative PV of Explicit Forecast (FY25-29)</t>
  </si>
  <si>
    <t>Terminal Growth Rate (g)</t>
  </si>
  <si>
    <t>Undiscounted Terminal Value</t>
  </si>
  <si>
    <t>Present Value of Terminal Value (PV of TV)</t>
  </si>
  <si>
    <t>Enterprise Value (EV)</t>
  </si>
  <si>
    <t>Less: Total Debt</t>
  </si>
  <si>
    <t>Plus: Cash &amp; Cash Equivalents</t>
  </si>
  <si>
    <t>Implied Equity Value</t>
  </si>
  <si>
    <t>Total Ordinary Shares Outstanding</t>
  </si>
  <si>
    <t>Estimated Intrinsic Value per Share</t>
  </si>
  <si>
    <t>Current Market Reference Price (Valuation Date)</t>
  </si>
  <si>
    <t>Implied Upside / (Downside)</t>
  </si>
  <si>
    <t>Millions</t>
  </si>
  <si>
    <t>Value</t>
  </si>
  <si>
    <t>Formula / Source Rationale</t>
  </si>
  <si>
    <t>Official Listed Shares (Net of Buybacks)</t>
  </si>
  <si>
    <t>Long-term sustainable GDP growth cap</t>
  </si>
  <si>
    <t>NGX Quoted Market Price</t>
  </si>
  <si>
    <t>WACC \ g</t>
  </si>
  <si>
    <t>INTRINSIC VALUE SENSITIVITY TABLE</t>
  </si>
  <si>
    <t>Sensitivity: WACC vs. g</t>
  </si>
  <si>
    <t>Bull Case (Low Risk)</t>
  </si>
  <si>
    <t>Mid-Bull</t>
  </si>
  <si>
    <t>Base Case</t>
  </si>
  <si>
    <t>Mid-Bear</t>
  </si>
  <si>
    <t>Bear Case (High Risk)</t>
  </si>
  <si>
    <t>Metric</t>
  </si>
  <si>
    <t>Dangote Cement - DANGCEM</t>
  </si>
  <si>
    <t>BUA Cement - BUACEMENT</t>
  </si>
  <si>
    <t>Lafarge Africa - WAPCO</t>
  </si>
  <si>
    <t>Peer Average</t>
  </si>
  <si>
    <t>MARKET PRICING &amp; SHARE DATA</t>
  </si>
  <si>
    <t>Reference Share Price (₦)</t>
  </si>
  <si>
    <t>Ordinary Shares Outstanding (Millions)</t>
  </si>
  <si>
    <t>Market Capitalisation (₦ Millions)</t>
  </si>
  <si>
    <t>BALANCE SHEET &amp; ENTERPRISE VALUE</t>
  </si>
  <si>
    <t>Net Debt (₦ Millions)</t>
  </si>
  <si>
    <t>Enterprise Value (EV) (₦ Millions)</t>
  </si>
  <si>
    <t>FY24 FINANCIAL METRICS</t>
  </si>
  <si>
    <t>Group Revenue (₦ Millions)</t>
  </si>
  <si>
    <t>EBITDA (₦ Millions)</t>
  </si>
  <si>
    <t>Profit After Tax / PAT (₦ Millions)</t>
  </si>
  <si>
    <t>VALUATION MULTIPLES</t>
  </si>
  <si>
    <t>EV / EBITDA Multiple</t>
  </si>
  <si>
    <t>Price-to-Earnings (P/E) Multiple</t>
  </si>
  <si>
    <t>EV / Revenue Multiple</t>
  </si>
  <si>
    <t>FY20</t>
  </si>
  <si>
    <t>FY21</t>
  </si>
  <si>
    <t>FY22</t>
  </si>
  <si>
    <t>FY23</t>
  </si>
  <si>
    <t>FY24</t>
  </si>
  <si>
    <t>Revenue (₦ Billion)</t>
  </si>
  <si>
    <t>EBITDA Margin (%)</t>
  </si>
  <si>
    <t>FCFF in ₦ Billions</t>
  </si>
  <si>
    <t>Cash Conversion: FCFF / EBITDA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</si>
</sst>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8" formatCode="0.0"/>
    <numFmt numFmtId="169" formatCode="0.0%"/>
    <numFmt numFmtId="179" formatCode="0.0000"/>
    <numFmt numFmtId="182" formatCode="_-* #,##0.0_-;\-* #,##0.0_-;_-* &quot;-&quot;??_-;_-@_-"/>
    <numFmt numFmtId="183" formatCode="_-* #,##0_-;\-* #,##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</font>
    <font>
      <sz val="10"/>
      <color theme="1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3" fontId="0" fillId="0" borderId="0" xfId="0" applyNumberFormat="1"/>
    <xf numFmtId="0" fontId="3" fillId="0" borderId="0" xfId="0" applyFont="1"/>
    <xf numFmtId="2" fontId="0" fillId="0" borderId="0" xfId="0" applyNumberFormat="1"/>
    <xf numFmtId="168" fontId="0" fillId="0" borderId="0" xfId="0" applyNumberFormat="1"/>
    <xf numFmtId="169" fontId="0" fillId="0" borderId="0" xfId="2" applyNumberFormat="1" applyFont="1"/>
    <xf numFmtId="10" fontId="0" fillId="0" borderId="0" xfId="2" applyNumberFormat="1" applyFont="1"/>
    <xf numFmtId="2" fontId="0" fillId="0" borderId="0" xfId="2" applyNumberFormat="1" applyFont="1"/>
    <xf numFmtId="4" fontId="0" fillId="0" borderId="0" xfId="0" applyNumberFormat="1"/>
    <xf numFmtId="179" fontId="0" fillId="0" borderId="0" xfId="0" applyNumberFormat="1"/>
    <xf numFmtId="182" fontId="0" fillId="0" borderId="0" xfId="1" applyNumberFormat="1" applyFont="1"/>
    <xf numFmtId="183" fontId="0" fillId="0" borderId="0" xfId="1" applyNumberFormat="1" applyFont="1"/>
    <xf numFmtId="10" fontId="0" fillId="0" borderId="0" xfId="0" applyNumberFormat="1"/>
    <xf numFmtId="169" fontId="0" fillId="0" borderId="0" xfId="0" applyNumberFormat="1"/>
    <xf numFmtId="182" fontId="0" fillId="0" borderId="0" xfId="0" applyNumberFormat="1"/>
    <xf numFmtId="183" fontId="0" fillId="0" borderId="0" xfId="0" applyNumberFormat="1"/>
    <xf numFmtId="3" fontId="4" fillId="0" borderId="0" xfId="0" applyNumberFormat="1" applyFont="1"/>
    <xf numFmtId="0" fontId="0" fillId="0" borderId="0" xfId="0" applyAlignment="1">
      <alignment wrapText="1"/>
    </xf>
    <xf numFmtId="0" fontId="0" fillId="0" borderId="1" xfId="0" applyBorder="1"/>
    <xf numFmtId="10" fontId="0" fillId="0" borderId="1" xfId="0" applyNumberFormat="1" applyBorder="1"/>
    <xf numFmtId="10" fontId="0" fillId="0" borderId="1" xfId="0" applyNumberFormat="1" applyBorder="1" applyAlignment="1">
      <alignment horizontal="center"/>
    </xf>
    <xf numFmtId="2" fontId="0" fillId="0" borderId="1" xfId="0" applyNumberFormat="1" applyBorder="1"/>
    <xf numFmtId="2" fontId="2" fillId="2" borderId="1" xfId="0" applyNumberFormat="1" applyFont="1" applyFill="1" applyBorder="1"/>
    <xf numFmtId="10" fontId="0" fillId="0" borderId="2" xfId="0" applyNumberFormat="1" applyBorder="1"/>
    <xf numFmtId="2" fontId="0" fillId="0" borderId="2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4" fontId="0" fillId="0" borderId="1" xfId="0" applyNumberFormat="1" applyBorder="1"/>
    <xf numFmtId="183" fontId="0" fillId="0" borderId="1" xfId="1" applyNumberFormat="1" applyFont="1" applyBorder="1"/>
    <xf numFmtId="3" fontId="0" fillId="0" borderId="1" xfId="0" applyNumberFormat="1" applyBorder="1"/>
    <xf numFmtId="0" fontId="0" fillId="0" borderId="1" xfId="0" applyFont="1" applyBorder="1"/>
    <xf numFmtId="183" fontId="0" fillId="0" borderId="1" xfId="0" applyNumberFormat="1" applyBorder="1"/>
    <xf numFmtId="3" fontId="5" fillId="0" borderId="1" xfId="0" applyNumberFormat="1" applyFont="1" applyBorder="1"/>
    <xf numFmtId="43" fontId="0" fillId="0" borderId="1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Figure 1: Sales Volumes (Mt) vs. Realized Price per Tonne (₦) (FY20–FY24)</a:t>
            </a:r>
            <a:endParaRPr lang="en-US" sz="1050" b="1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Hist_Financials!$A$14</c:f>
              <c:strCache>
                <c:ptCount val="1"/>
                <c:pt idx="0">
                  <c:v>Total Cement Volume Sold (Mt)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Hist_Financials!$B$1:$F$1</c:f>
              <c:strCache>
                <c:ptCount val="5"/>
                <c:pt idx="0">
                  <c:v>FY 2020</c:v>
                </c:pt>
                <c:pt idx="1">
                  <c:v>FY 2021</c:v>
                </c:pt>
                <c:pt idx="2">
                  <c:v>FY 2022</c:v>
                </c:pt>
                <c:pt idx="3">
                  <c:v>FY 2023</c:v>
                </c:pt>
                <c:pt idx="4">
                  <c:v>FY 2024</c:v>
                </c:pt>
              </c:strCache>
            </c:strRef>
          </c:cat>
          <c:val>
            <c:numRef>
              <c:f>Hist_Financials!$B$14:$F$14</c:f>
              <c:numCache>
                <c:formatCode>#,##0.00</c:formatCode>
                <c:ptCount val="5"/>
                <c:pt idx="0">
                  <c:v>25.72</c:v>
                </c:pt>
                <c:pt idx="1">
                  <c:v>29.27</c:v>
                </c:pt>
                <c:pt idx="2">
                  <c:v>27.77</c:v>
                </c:pt>
                <c:pt idx="3" formatCode="0.00">
                  <c:v>27.3</c:v>
                </c:pt>
                <c:pt idx="4" formatCode="0.00">
                  <c:v>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C-4C37-8282-2FABCDB9D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2798015"/>
        <c:axId val="692815295"/>
      </c:barChart>
      <c:lineChart>
        <c:grouping val="standard"/>
        <c:varyColors val="0"/>
        <c:ser>
          <c:idx val="1"/>
          <c:order val="1"/>
          <c:tx>
            <c:strRef>
              <c:f>Hist_Financials!$A$15</c:f>
              <c:strCache>
                <c:ptCount val="1"/>
                <c:pt idx="0">
                  <c:v>Average Selling Price (₦ / Tonne)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Hist_Financials!$B$1:$F$1</c:f>
              <c:strCache>
                <c:ptCount val="5"/>
                <c:pt idx="0">
                  <c:v>FY 2020</c:v>
                </c:pt>
                <c:pt idx="1">
                  <c:v>FY 2021</c:v>
                </c:pt>
                <c:pt idx="2">
                  <c:v>FY 2022</c:v>
                </c:pt>
                <c:pt idx="3">
                  <c:v>FY 2023</c:v>
                </c:pt>
                <c:pt idx="4">
                  <c:v>FY 2024</c:v>
                </c:pt>
              </c:strCache>
            </c:strRef>
          </c:cat>
          <c:val>
            <c:numRef>
              <c:f>Hist_Financials!$B$15:$F$15</c:f>
              <c:numCache>
                <c:formatCode>_-* #,##0_-;\-* #,##0_-;_-* "-"??_-;_-@_-</c:formatCode>
                <c:ptCount val="5"/>
                <c:pt idx="0">
                  <c:v>40046.539657853813</c:v>
                </c:pt>
                <c:pt idx="1">
                  <c:v>47271.50666211138</c:v>
                </c:pt>
                <c:pt idx="2">
                  <c:v>58275.945264674112</c:v>
                </c:pt>
                <c:pt idx="3">
                  <c:v>80882.417582417576</c:v>
                </c:pt>
                <c:pt idx="4">
                  <c:v>129261.73285198557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1C-4C37-8282-2FABCDB9D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2800415"/>
        <c:axId val="692816735"/>
      </c:lineChart>
      <c:catAx>
        <c:axId val="69279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815295"/>
        <c:auto val="1"/>
        <c:lblAlgn val="ctr"/>
        <c:lblOffset val="100"/>
        <c:noMultiLvlLbl val="0"/>
      </c:catAx>
      <c:valAx>
        <c:axId val="6928152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798015"/>
        <c:crossBetween val="between"/>
      </c:valAx>
      <c:valAx>
        <c:axId val="692816735"/>
        <c:scaling>
          <c:orientation val="minMax"/>
        </c:scaling>
        <c:delete val="0"/>
        <c:axPos val="r"/>
        <c:numFmt formatCode="&quot;₦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800415"/>
        <c:crosses val="max"/>
        <c:crossBetween val="between"/>
      </c:valAx>
      <c:catAx>
        <c:axId val="692800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28167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2: 10-Year Group Revenue (₦B) vs. EBITDA Margin (%) (FY20–FY29F)</a:t>
            </a:r>
            <a:endParaRPr lang="en-US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Forecast_Model!$A$58</c:f>
              <c:strCache>
                <c:ptCount val="1"/>
                <c:pt idx="0">
                  <c:v>Revenue (₦ Billion)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B1-49BF-A59C-C50EEED063B9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B1-49BF-A59C-C50EEED063B9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CB1-49BF-A59C-C50EEED063B9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B1-49BF-A59C-C50EEED063B9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CB1-49BF-A59C-C50EEED063B9}"/>
              </c:ext>
            </c:extLst>
          </c:dPt>
          <c:cat>
            <c:strRef>
              <c:f>Forecast_Model!$B$56:$K$56</c:f>
              <c:strCache>
                <c:ptCount val="10"/>
                <c:pt idx="0">
                  <c:v>FY20</c:v>
                </c:pt>
                <c:pt idx="1">
                  <c:v>FY21</c:v>
                </c:pt>
                <c:pt idx="2">
                  <c:v>FY22</c:v>
                </c:pt>
                <c:pt idx="3">
                  <c:v>FY23</c:v>
                </c:pt>
                <c:pt idx="4">
                  <c:v>FY24</c:v>
                </c:pt>
                <c:pt idx="5">
                  <c:v>FY25F</c:v>
                </c:pt>
                <c:pt idx="6">
                  <c:v>FY26F</c:v>
                </c:pt>
                <c:pt idx="7">
                  <c:v>FY27F</c:v>
                </c:pt>
                <c:pt idx="8">
                  <c:v>FY28F</c:v>
                </c:pt>
                <c:pt idx="9">
                  <c:v>FY29F</c:v>
                </c:pt>
              </c:strCache>
            </c:strRef>
          </c:cat>
          <c:val>
            <c:numRef>
              <c:f>Forecast_Model!$B$58:$K$58</c:f>
              <c:numCache>
                <c:formatCode>_-* #,##0.0_-;\-* #,##0.0_-;_-* "-"??_-;_-@_-</c:formatCode>
                <c:ptCount val="10"/>
                <c:pt idx="0">
                  <c:v>1029.9970000000001</c:v>
                </c:pt>
                <c:pt idx="1">
                  <c:v>1383.6369999999999</c:v>
                </c:pt>
                <c:pt idx="2">
                  <c:v>1618.3230000000001</c:v>
                </c:pt>
                <c:pt idx="3">
                  <c:v>2208.09</c:v>
                </c:pt>
                <c:pt idx="4">
                  <c:v>3580.55</c:v>
                </c:pt>
                <c:pt idx="5">
                  <c:v>4150.5735599999998</c:v>
                </c:pt>
                <c:pt idx="6">
                  <c:v>4748.2561526400004</c:v>
                </c:pt>
                <c:pt idx="7">
                  <c:v>5358.8818938695031</c:v>
                </c:pt>
                <c:pt idx="8">
                  <c:v>5907.6313998017413</c:v>
                </c:pt>
                <c:pt idx="9">
                  <c:v>6420.1184237345433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1-49BF-A59C-C50EEED06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800895"/>
        <c:axId val="692822495"/>
      </c:barChart>
      <c:lineChart>
        <c:grouping val="standard"/>
        <c:varyColors val="0"/>
        <c:ser>
          <c:idx val="1"/>
          <c:order val="1"/>
          <c:tx>
            <c:strRef>
              <c:f>Forecast_Model!$A$59</c:f>
              <c:strCache>
                <c:ptCount val="1"/>
                <c:pt idx="0">
                  <c:v>EBITDA Margin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Forecast_Model!$B$56:$K$56</c:f>
              <c:strCache>
                <c:ptCount val="10"/>
                <c:pt idx="0">
                  <c:v>FY20</c:v>
                </c:pt>
                <c:pt idx="1">
                  <c:v>FY21</c:v>
                </c:pt>
                <c:pt idx="2">
                  <c:v>FY22</c:v>
                </c:pt>
                <c:pt idx="3">
                  <c:v>FY23</c:v>
                </c:pt>
                <c:pt idx="4">
                  <c:v>FY24</c:v>
                </c:pt>
                <c:pt idx="5">
                  <c:v>FY25F</c:v>
                </c:pt>
                <c:pt idx="6">
                  <c:v>FY26F</c:v>
                </c:pt>
                <c:pt idx="7">
                  <c:v>FY27F</c:v>
                </c:pt>
                <c:pt idx="8">
                  <c:v>FY28F</c:v>
                </c:pt>
                <c:pt idx="9">
                  <c:v>FY29F</c:v>
                </c:pt>
              </c:strCache>
            </c:strRef>
          </c:cat>
          <c:val>
            <c:numRef>
              <c:f>Forecast_Model!$B$59:$K$59</c:f>
              <c:numCache>
                <c:formatCode>0.0%</c:formatCode>
                <c:ptCount val="10"/>
                <c:pt idx="0">
                  <c:v>0.4641974685363161</c:v>
                </c:pt>
                <c:pt idx="1">
                  <c:v>0.49477717060182691</c:v>
                </c:pt>
                <c:pt idx="2">
                  <c:v>0.43763636801800382</c:v>
                </c:pt>
                <c:pt idx="3">
                  <c:v>0.40129704858044735</c:v>
                </c:pt>
                <c:pt idx="4">
                  <c:v>0.3854156484338998</c:v>
                </c:pt>
                <c:pt idx="5">
                  <c:v>0.37500000000000006</c:v>
                </c:pt>
                <c:pt idx="6">
                  <c:v>0.38499999999999995</c:v>
                </c:pt>
                <c:pt idx="7">
                  <c:v>0.39500000000000002</c:v>
                </c:pt>
                <c:pt idx="8">
                  <c:v>0.40500000000000003</c:v>
                </c:pt>
                <c:pt idx="9">
                  <c:v>0.40499999999999997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B1-49BF-A59C-C50EEED06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2823455"/>
        <c:axId val="692819135"/>
      </c:lineChart>
      <c:catAx>
        <c:axId val="69280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822495"/>
        <c:crosses val="autoZero"/>
        <c:auto val="1"/>
        <c:lblAlgn val="ctr"/>
        <c:lblOffset val="100"/>
        <c:noMultiLvlLbl val="0"/>
      </c:catAx>
      <c:valAx>
        <c:axId val="69282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800895"/>
        <c:crosses val="autoZero"/>
        <c:crossBetween val="between"/>
      </c:valAx>
      <c:valAx>
        <c:axId val="69281913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823455"/>
        <c:crosses val="max"/>
        <c:crossBetween val="between"/>
      </c:valAx>
      <c:catAx>
        <c:axId val="692823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28191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3: Unlevered Free Cash Flow (FCFF) &amp; EBITDA Cash Conversion (FY25F–FY29F)</a:t>
            </a:r>
            <a:endParaRPr lang="en-US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Forecast_Model!$A$62</c:f>
              <c:strCache>
                <c:ptCount val="1"/>
                <c:pt idx="0">
                  <c:v>FCFF in ₦ Billions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Forecast_Model!$B$61:$F$61</c:f>
              <c:strCache>
                <c:ptCount val="5"/>
                <c:pt idx="0">
                  <c:v>FY25F</c:v>
                </c:pt>
                <c:pt idx="1">
                  <c:v>FY26F</c:v>
                </c:pt>
                <c:pt idx="2">
                  <c:v>FY27F</c:v>
                </c:pt>
                <c:pt idx="3">
                  <c:v>FY28F</c:v>
                </c:pt>
                <c:pt idx="4">
                  <c:v>FY29F</c:v>
                </c:pt>
              </c:strCache>
            </c:strRef>
          </c:cat>
          <c:val>
            <c:numRef>
              <c:f>Forecast_Model!$B$62:$F$62</c:f>
              <c:numCache>
                <c:formatCode>_-* #,##0.0_-;\-* #,##0.0_-;_-* "-"??_-;_-@_-</c:formatCode>
                <c:ptCount val="5"/>
                <c:pt idx="0">
                  <c:v>722.19979944000022</c:v>
                </c:pt>
                <c:pt idx="1">
                  <c:v>883.17564439104001</c:v>
                </c:pt>
                <c:pt idx="2">
                  <c:v>1061.0586149861617</c:v>
                </c:pt>
                <c:pt idx="3">
                  <c:v>1270.1407509573739</c:v>
                </c:pt>
                <c:pt idx="4">
                  <c:v>1412.426053221599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A-4F07-AFBF-E430F49D43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1378863"/>
        <c:axId val="811376463"/>
      </c:barChart>
      <c:lineChart>
        <c:grouping val="standard"/>
        <c:varyColors val="0"/>
        <c:ser>
          <c:idx val="1"/>
          <c:order val="1"/>
          <c:tx>
            <c:strRef>
              <c:f>Forecast_Model!$A$63</c:f>
              <c:strCache>
                <c:ptCount val="1"/>
                <c:pt idx="0">
                  <c:v>Cash Conversion: FCFF / EBITDA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Forecast_Model!$B$61:$F$61</c:f>
              <c:strCache>
                <c:ptCount val="5"/>
                <c:pt idx="0">
                  <c:v>FY25F</c:v>
                </c:pt>
                <c:pt idx="1">
                  <c:v>FY26F</c:v>
                </c:pt>
                <c:pt idx="2">
                  <c:v>FY27F</c:v>
                </c:pt>
                <c:pt idx="3">
                  <c:v>FY28F</c:v>
                </c:pt>
                <c:pt idx="4">
                  <c:v>FY29F</c:v>
                </c:pt>
              </c:strCache>
            </c:strRef>
          </c:cat>
          <c:val>
            <c:numRef>
              <c:f>Forecast_Model!$B$63:$F$63</c:f>
              <c:numCache>
                <c:formatCode>0.0%</c:formatCode>
                <c:ptCount val="5"/>
                <c:pt idx="0">
                  <c:v>0.46400000000000008</c:v>
                </c:pt>
                <c:pt idx="1">
                  <c:v>0.48311688311688317</c:v>
                </c:pt>
                <c:pt idx="2">
                  <c:v>0.50126582278481013</c:v>
                </c:pt>
                <c:pt idx="3">
                  <c:v>0.530864197530864</c:v>
                </c:pt>
                <c:pt idx="4">
                  <c:v>0.54320987654320974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CA-4F07-AFBF-E430F49D43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1380783"/>
        <c:axId val="811375983"/>
      </c:lineChart>
      <c:catAx>
        <c:axId val="81137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76463"/>
        <c:crosses val="autoZero"/>
        <c:auto val="1"/>
        <c:lblAlgn val="ctr"/>
        <c:lblOffset val="100"/>
        <c:noMultiLvlLbl val="0"/>
      </c:catAx>
      <c:valAx>
        <c:axId val="81137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₦&quot;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78863"/>
        <c:crosses val="autoZero"/>
        <c:crossBetween val="between"/>
      </c:valAx>
      <c:valAx>
        <c:axId val="811375983"/>
        <c:scaling>
          <c:orientation val="minMax"/>
          <c:max val="0.8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80783"/>
        <c:crosses val="max"/>
        <c:crossBetween val="between"/>
      </c:valAx>
      <c:catAx>
        <c:axId val="811380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13759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18</xdr:row>
      <xdr:rowOff>101600</xdr:rowOff>
    </xdr:from>
    <xdr:to>
      <xdr:col>4</xdr:col>
      <xdr:colOff>663575</xdr:colOff>
      <xdr:row>33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34BA6-014A-5259-3F67-12916FD55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137417</xdr:rowOff>
    </xdr:from>
    <xdr:to>
      <xdr:col>1</xdr:col>
      <xdr:colOff>704921</xdr:colOff>
      <xdr:row>106</xdr:row>
      <xdr:rowOff>98033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7EA5AC-706B-B09C-D74F-1D2C00F8E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453775</xdr:colOff>
      <xdr:row>54</xdr:row>
      <xdr:rowOff>130282</xdr:rowOff>
    </xdr:from>
    <xdr:to>
      <xdr:col>6</xdr:col>
      <xdr:colOff>9989</xdr:colOff>
      <xdr:row>69</xdr:row>
      <xdr:rowOff>90898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AB9506-443D-C462-D419-4CBB71319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2C08-0196-4574-8CC0-1C3B1EFBD98D}">
  <dimension ref="A1:N16"/>
  <sheetViews>
    <sheetView workbookViewId="0">
      <selection activeCell="G27" sqref="G27"/>
    </sheetView>
  </sheetViews>
  <sheetFormatPr defaultRowHeight="14.5"/>
  <cols>
    <col min="1" max="1" width="29.08984375" bestFit="1" customWidth="1"/>
    <col min="2" max="5" width="10.1796875" bestFit="1" customWidth="1"/>
    <col min="6" max="6" width="11.1796875" bestFit="1" customWidth="1"/>
    <col min="7" max="7" width="48.6328125" bestFit="1" customWidth="1"/>
    <col min="8" max="12" width="11.7265625" bestFit="1" customWidth="1"/>
    <col min="14" max="14" width="21.7265625" bestFit="1" customWidth="1"/>
  </cols>
  <sheetData>
    <row r="1" spans="1:14">
      <c r="A1" t="s">
        <v>0</v>
      </c>
      <c r="B1" t="s">
        <v>36</v>
      </c>
      <c r="C1" t="s">
        <v>37</v>
      </c>
      <c r="D1" t="s">
        <v>38</v>
      </c>
      <c r="E1" t="s">
        <v>1</v>
      </c>
      <c r="F1" t="s">
        <v>2</v>
      </c>
      <c r="G1" t="s">
        <v>3</v>
      </c>
      <c r="H1" t="s">
        <v>39</v>
      </c>
      <c r="I1" t="s">
        <v>40</v>
      </c>
      <c r="J1" t="s">
        <v>41</v>
      </c>
      <c r="K1" t="s">
        <v>34</v>
      </c>
      <c r="L1" t="s">
        <v>35</v>
      </c>
      <c r="N1" t="s">
        <v>42</v>
      </c>
    </row>
    <row r="2" spans="1:14">
      <c r="A2" t="s">
        <v>4</v>
      </c>
      <c r="B2" s="1">
        <v>1029997</v>
      </c>
      <c r="C2" s="1">
        <v>1383637</v>
      </c>
      <c r="D2" s="1">
        <v>1618323</v>
      </c>
      <c r="E2" s="1">
        <v>2208090</v>
      </c>
      <c r="F2" s="1">
        <v>3580550</v>
      </c>
      <c r="G2" s="2" t="s">
        <v>16</v>
      </c>
      <c r="H2" s="2"/>
      <c r="I2" s="2"/>
      <c r="N2" s="6">
        <f>(F2/B2)^(1/4)-1</f>
        <v>0.36545831279356289</v>
      </c>
    </row>
    <row r="3" spans="1:14">
      <c r="A3" t="s">
        <v>5</v>
      </c>
      <c r="B3" s="1">
        <v>437970</v>
      </c>
      <c r="C3" s="1">
        <v>551019</v>
      </c>
      <c r="D3" s="1">
        <v>662890</v>
      </c>
      <c r="E3" s="1">
        <v>1006278</v>
      </c>
      <c r="F3" s="1">
        <v>1645651</v>
      </c>
      <c r="G3" s="2" t="s">
        <v>17</v>
      </c>
      <c r="H3" s="2"/>
      <c r="I3" s="2"/>
      <c r="N3" s="6"/>
    </row>
    <row r="4" spans="1:14">
      <c r="A4" t="s">
        <v>6</v>
      </c>
      <c r="B4" s="1">
        <v>592027</v>
      </c>
      <c r="C4" s="1">
        <v>832618</v>
      </c>
      <c r="D4" s="1">
        <v>955433</v>
      </c>
      <c r="E4" s="1">
        <v>1201812</v>
      </c>
      <c r="F4" s="1">
        <v>1934899</v>
      </c>
      <c r="G4" t="s">
        <v>18</v>
      </c>
      <c r="H4" s="6">
        <f>B4/B2</f>
        <v>0.57478516927719203</v>
      </c>
      <c r="I4" s="6">
        <f>C4/C2</f>
        <v>0.60176043283028713</v>
      </c>
      <c r="J4" s="6">
        <f>D4/D2</f>
        <v>0.59038461419630073</v>
      </c>
      <c r="K4" s="6">
        <f>E4/E2</f>
        <v>0.54427672785076697</v>
      </c>
      <c r="L4" s="6">
        <f>F4/F2</f>
        <v>0.54039155995587274</v>
      </c>
      <c r="N4" s="6"/>
    </row>
    <row r="5" spans="1:14">
      <c r="A5" t="s">
        <v>7</v>
      </c>
      <c r="B5" s="1">
        <v>386735</v>
      </c>
      <c r="C5" s="1">
        <v>585576</v>
      </c>
      <c r="D5" s="1">
        <v>585876</v>
      </c>
      <c r="E5" s="1">
        <v>734267</v>
      </c>
      <c r="F5" s="1">
        <v>1152042</v>
      </c>
      <c r="G5" t="s">
        <v>19</v>
      </c>
      <c r="H5" s="6">
        <f>B5/B2</f>
        <v>0.37547196739407979</v>
      </c>
      <c r="I5" s="6">
        <f>C5/C2</f>
        <v>0.42321504845562818</v>
      </c>
      <c r="J5" s="6">
        <f>D5/D2</f>
        <v>0.36202661644183515</v>
      </c>
      <c r="K5" s="6">
        <f>E5/E2</f>
        <v>0.33253490573300909</v>
      </c>
      <c r="L5" s="6">
        <f>F5/F2</f>
        <v>0.3217500104732513</v>
      </c>
      <c r="N5" s="6"/>
    </row>
    <row r="6" spans="1:14">
      <c r="A6" t="s">
        <v>8</v>
      </c>
      <c r="B6" s="1">
        <v>43989</v>
      </c>
      <c r="C6" s="1">
        <v>65709</v>
      </c>
      <c r="D6" s="1">
        <v>130370</v>
      </c>
      <c r="E6" s="1">
        <v>310962</v>
      </c>
      <c r="F6" s="1">
        <v>700299</v>
      </c>
      <c r="G6" t="s">
        <v>20</v>
      </c>
      <c r="N6" s="6"/>
    </row>
    <row r="7" spans="1:14">
      <c r="A7" t="s">
        <v>9</v>
      </c>
      <c r="B7" s="1">
        <v>276068</v>
      </c>
      <c r="C7" s="1">
        <v>364439</v>
      </c>
      <c r="D7" s="1">
        <v>382311</v>
      </c>
      <c r="E7" s="1">
        <v>455583</v>
      </c>
      <c r="F7" s="1">
        <v>503247</v>
      </c>
      <c r="G7" t="s">
        <v>21</v>
      </c>
      <c r="N7" s="6"/>
    </row>
    <row r="8" spans="1:14">
      <c r="A8" t="s">
        <v>10</v>
      </c>
      <c r="B8" s="1">
        <v>145841</v>
      </c>
      <c r="C8" s="1">
        <v>240022</v>
      </c>
      <c r="D8" s="1">
        <v>283275</v>
      </c>
      <c r="E8" s="1">
        <v>447097</v>
      </c>
      <c r="F8" s="1">
        <v>449831</v>
      </c>
      <c r="G8" t="s">
        <v>22</v>
      </c>
      <c r="N8" s="6"/>
    </row>
    <row r="9" spans="1:14">
      <c r="A9" t="s">
        <v>11</v>
      </c>
      <c r="B9" s="1">
        <v>498127</v>
      </c>
      <c r="C9" s="1">
        <v>542001</v>
      </c>
      <c r="D9" s="1">
        <v>706734</v>
      </c>
      <c r="E9" s="1">
        <v>1012620</v>
      </c>
      <c r="F9" s="1">
        <v>2631564</v>
      </c>
      <c r="G9" t="s">
        <v>23</v>
      </c>
      <c r="H9" s="3">
        <f>(B9-B8)/B16</f>
        <v>0.7368119433952004</v>
      </c>
      <c r="I9" s="3">
        <f>(C9-C8)/C16</f>
        <v>0.44110798840769394</v>
      </c>
      <c r="J9" s="3">
        <f>(D9-D8)/D16</f>
        <v>0.59790578577510067</v>
      </c>
      <c r="K9" s="7">
        <f>(E9-E8)/E16</f>
        <v>0.6382157770003386</v>
      </c>
      <c r="L9" s="7">
        <f>(F9-F8)/F16</f>
        <v>1.5809659420289854</v>
      </c>
      <c r="N9" s="6"/>
    </row>
    <row r="10" spans="1:14">
      <c r="A10" t="s">
        <v>12</v>
      </c>
      <c r="B10" s="1">
        <v>890970</v>
      </c>
      <c r="C10" s="1">
        <v>983674</v>
      </c>
      <c r="D10" s="1">
        <v>1080480</v>
      </c>
      <c r="E10" s="1">
        <v>1725840</v>
      </c>
      <c r="F10" s="1">
        <v>2175245</v>
      </c>
      <c r="G10" t="s">
        <v>24</v>
      </c>
      <c r="N10" s="6"/>
    </row>
    <row r="11" spans="1:14">
      <c r="A11" t="s">
        <v>13</v>
      </c>
      <c r="B11" s="1">
        <v>499021</v>
      </c>
      <c r="C11" s="1">
        <v>710551</v>
      </c>
      <c r="D11" s="1">
        <v>682959</v>
      </c>
      <c r="E11" s="1">
        <v>678789</v>
      </c>
      <c r="F11" s="1">
        <v>821080</v>
      </c>
      <c r="G11" t="s">
        <v>25</v>
      </c>
      <c r="N11" s="6"/>
    </row>
    <row r="12" spans="1:14">
      <c r="A12" t="s">
        <v>14</v>
      </c>
      <c r="B12" s="1">
        <v>119034</v>
      </c>
      <c r="C12" s="1">
        <v>125487</v>
      </c>
      <c r="D12" s="1">
        <v>152709</v>
      </c>
      <c r="E12" s="1">
        <v>140221</v>
      </c>
      <c r="F12" s="1">
        <v>423045</v>
      </c>
      <c r="G12" s="2" t="s">
        <v>26</v>
      </c>
      <c r="H12" s="2"/>
      <c r="I12" s="2"/>
      <c r="N12" s="6"/>
    </row>
    <row r="13" spans="1:14">
      <c r="A13" t="s">
        <v>15</v>
      </c>
      <c r="B13" s="1">
        <v>272648</v>
      </c>
      <c r="C13" s="1">
        <v>272648</v>
      </c>
      <c r="D13" s="1">
        <v>340810</v>
      </c>
      <c r="E13" s="1">
        <v>337471</v>
      </c>
      <c r="F13" s="1">
        <v>502580</v>
      </c>
      <c r="G13" t="s">
        <v>27</v>
      </c>
      <c r="N13" s="6"/>
    </row>
    <row r="14" spans="1:14">
      <c r="A14" t="s">
        <v>28</v>
      </c>
      <c r="B14" s="8">
        <v>25.72</v>
      </c>
      <c r="C14" s="8">
        <v>29.27</v>
      </c>
      <c r="D14" s="8">
        <v>27.77</v>
      </c>
      <c r="E14" s="3">
        <v>27.3</v>
      </c>
      <c r="F14" s="3">
        <v>27.7</v>
      </c>
      <c r="G14" t="s">
        <v>29</v>
      </c>
      <c r="N14" s="6">
        <f>(F14/B14)^(1/4)-1</f>
        <v>1.8713827766779545E-2</v>
      </c>
    </row>
    <row r="15" spans="1:14">
      <c r="A15" t="s">
        <v>30</v>
      </c>
      <c r="B15" s="11">
        <f>B2/B14</f>
        <v>40046.539657853813</v>
      </c>
      <c r="C15" s="11">
        <f>C2/C14</f>
        <v>47271.50666211138</v>
      </c>
      <c r="D15" s="11">
        <f>D2/D14</f>
        <v>58275.945264674112</v>
      </c>
      <c r="E15" s="11">
        <f>E2/E14</f>
        <v>80882.417582417576</v>
      </c>
      <c r="F15" s="11">
        <f>F2/F14</f>
        <v>129261.73285198557</v>
      </c>
      <c r="G15" t="s">
        <v>31</v>
      </c>
      <c r="N15" s="6">
        <f>(F15/B15)^(1/4)-1</f>
        <v>0.34037477020108309</v>
      </c>
    </row>
    <row r="16" spans="1:14">
      <c r="A16" t="s">
        <v>32</v>
      </c>
      <c r="B16" s="1">
        <v>478122</v>
      </c>
      <c r="C16" s="1">
        <v>684592</v>
      </c>
      <c r="D16" s="1">
        <v>708237</v>
      </c>
      <c r="E16" s="1">
        <v>886100</v>
      </c>
      <c r="F16" s="1">
        <v>1380000</v>
      </c>
      <c r="G16" t="s">
        <v>33</v>
      </c>
      <c r="H16" s="6">
        <f>B16/B2</f>
        <v>0.4641974685363161</v>
      </c>
      <c r="I16" s="6">
        <f>C16/C2</f>
        <v>0.49477717060182691</v>
      </c>
      <c r="J16" s="6">
        <f>D16/D2</f>
        <v>0.43763636801800382</v>
      </c>
      <c r="K16" s="6">
        <f>E16/E2</f>
        <v>0.40129704858044735</v>
      </c>
      <c r="L16" s="6">
        <f>F16/F2</f>
        <v>0.3854156484338998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DC2C-C553-4B86-9EEB-2CB5465B85EE}">
  <dimension ref="A1:K63"/>
  <sheetViews>
    <sheetView topLeftCell="A52" zoomScale="89" zoomScaleNormal="89" workbookViewId="0">
      <selection activeCell="A70" sqref="A70"/>
    </sheetView>
  </sheetViews>
  <sheetFormatPr defaultRowHeight="14.5"/>
  <cols>
    <col min="1" max="1" width="55.36328125" bestFit="1" customWidth="1"/>
    <col min="2" max="2" width="16.6328125" bestFit="1" customWidth="1"/>
    <col min="3" max="3" width="13.81640625" bestFit="1" customWidth="1"/>
    <col min="4" max="4" width="15.81640625" customWidth="1"/>
    <col min="5" max="6" width="12.7265625" bestFit="1" customWidth="1"/>
    <col min="7" max="7" width="12.81640625" bestFit="1" customWidth="1"/>
    <col min="8" max="11" width="9.1796875" bestFit="1" customWidth="1"/>
  </cols>
  <sheetData>
    <row r="1" spans="1:7">
      <c r="A1" t="s">
        <v>43</v>
      </c>
      <c r="B1" t="s">
        <v>51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>
      <c r="A2" t="s">
        <v>44</v>
      </c>
    </row>
    <row r="3" spans="1:7">
      <c r="A3" t="s">
        <v>45</v>
      </c>
      <c r="B3" t="s">
        <v>52</v>
      </c>
      <c r="C3" s="13">
        <v>3.5000000000000003E-2</v>
      </c>
      <c r="D3" s="13">
        <v>0.04</v>
      </c>
      <c r="E3" s="13">
        <v>4.4999999999999998E-2</v>
      </c>
      <c r="F3" s="13">
        <v>0.04</v>
      </c>
      <c r="G3" s="13">
        <v>3.5000000000000003E-2</v>
      </c>
    </row>
    <row r="4" spans="1:7">
      <c r="A4" t="s">
        <v>46</v>
      </c>
      <c r="B4" t="s">
        <v>53</v>
      </c>
      <c r="C4" s="3">
        <f>Hist_Financials!F14 * (1 + C3)</f>
        <v>28.669499999999996</v>
      </c>
      <c r="D4" s="3">
        <f>C4 * (1 + D3)</f>
        <v>29.816279999999995</v>
      </c>
      <c r="E4" s="3">
        <f>D4 * (1 + E3)</f>
        <v>31.158012599999992</v>
      </c>
      <c r="F4" s="3">
        <f>E4 * (1 + F3)</f>
        <v>32.404333103999996</v>
      </c>
      <c r="G4" s="3">
        <f>F4 * (1 + G3)</f>
        <v>33.538484762639996</v>
      </c>
    </row>
    <row r="5" spans="1:7">
      <c r="A5" t="s">
        <v>47</v>
      </c>
      <c r="B5" t="s">
        <v>52</v>
      </c>
      <c r="C5" s="13">
        <v>0.12</v>
      </c>
      <c r="D5" s="13">
        <v>0.1</v>
      </c>
      <c r="E5" s="13">
        <v>0.08</v>
      </c>
      <c r="F5" s="13">
        <v>0.06</v>
      </c>
      <c r="G5" s="13">
        <v>0.05</v>
      </c>
    </row>
    <row r="6" spans="1:7">
      <c r="A6" t="s">
        <v>48</v>
      </c>
      <c r="B6" t="s">
        <v>54</v>
      </c>
      <c r="C6" s="11">
        <f>Hist_Financials!F15 * (1 + C5)</f>
        <v>144773.14079422384</v>
      </c>
      <c r="D6" s="11">
        <f>C6 * (1 + D5)</f>
        <v>159250.45487364623</v>
      </c>
      <c r="E6" s="11">
        <f t="shared" ref="E6:G6" si="0">D6 * (1 + E5)</f>
        <v>171990.49126353793</v>
      </c>
      <c r="F6" s="11">
        <f t="shared" si="0"/>
        <v>182309.9207393502</v>
      </c>
      <c r="G6" s="11">
        <f t="shared" si="0"/>
        <v>191425.41677631772</v>
      </c>
    </row>
    <row r="7" spans="1:7">
      <c r="A7" t="s">
        <v>49</v>
      </c>
    </row>
    <row r="8" spans="1:7">
      <c r="A8" t="s">
        <v>50</v>
      </c>
      <c r="B8" t="s">
        <v>55</v>
      </c>
      <c r="C8" s="11">
        <f>C4 * C6</f>
        <v>4150573.56</v>
      </c>
      <c r="D8" s="11">
        <f>D4 * D6</f>
        <v>4748256.15264</v>
      </c>
      <c r="E8" s="11">
        <f>E4 * E6</f>
        <v>5358881.8938695034</v>
      </c>
      <c r="F8" s="11">
        <f>F4 * F6</f>
        <v>5907631.3998017414</v>
      </c>
      <c r="G8" s="11">
        <f t="shared" ref="E8:G8" si="1">G4 * G6</f>
        <v>6420118.4237345429</v>
      </c>
    </row>
    <row r="9" spans="1:7">
      <c r="A9" t="s">
        <v>61</v>
      </c>
    </row>
    <row r="10" spans="1:7">
      <c r="A10" t="s">
        <v>62</v>
      </c>
      <c r="B10" t="s">
        <v>52</v>
      </c>
      <c r="C10" s="13">
        <v>0.46500000000000002</v>
      </c>
      <c r="D10" s="13">
        <v>0.46</v>
      </c>
      <c r="E10" s="13">
        <v>0.45500000000000002</v>
      </c>
      <c r="F10" s="13">
        <v>0.45</v>
      </c>
      <c r="G10" s="13">
        <v>0.45</v>
      </c>
    </row>
    <row r="11" spans="1:7">
      <c r="A11" t="s">
        <v>5</v>
      </c>
      <c r="B11" t="s">
        <v>55</v>
      </c>
      <c r="C11" s="15">
        <f>C8 * C10</f>
        <v>1930016.7054000001</v>
      </c>
      <c r="D11" s="15">
        <f t="shared" ref="D11:G11" si="2">D8 * D10</f>
        <v>2184197.8302144003</v>
      </c>
      <c r="E11" s="15">
        <f t="shared" si="2"/>
        <v>2438291.2617106242</v>
      </c>
      <c r="F11" s="15">
        <f t="shared" si="2"/>
        <v>2658434.1299107838</v>
      </c>
      <c r="G11" s="15">
        <f t="shared" si="2"/>
        <v>2889053.2906805445</v>
      </c>
    </row>
    <row r="12" spans="1:7">
      <c r="A12" t="s">
        <v>6</v>
      </c>
      <c r="B12" t="s">
        <v>55</v>
      </c>
      <c r="C12" s="15">
        <f>C8 - C11</f>
        <v>2220556.8546000002</v>
      </c>
      <c r="D12" s="15">
        <f t="shared" ref="D12:G12" si="3">D8 - D11</f>
        <v>2564058.3224255997</v>
      </c>
      <c r="E12" s="15">
        <f t="shared" si="3"/>
        <v>2920590.6321588792</v>
      </c>
      <c r="F12" s="15">
        <f t="shared" si="3"/>
        <v>3249197.2698909575</v>
      </c>
      <c r="G12" s="15">
        <f t="shared" si="3"/>
        <v>3531065.1330539985</v>
      </c>
    </row>
    <row r="13" spans="1:7">
      <c r="A13" t="s">
        <v>63</v>
      </c>
      <c r="B13" t="s">
        <v>52</v>
      </c>
      <c r="C13" s="12">
        <v>0.215</v>
      </c>
      <c r="D13" s="12">
        <v>0.21</v>
      </c>
      <c r="E13" s="12">
        <v>0.20499999999999999</v>
      </c>
      <c r="F13" s="12">
        <v>0.2</v>
      </c>
      <c r="G13" s="12">
        <v>0.2</v>
      </c>
    </row>
    <row r="14" spans="1:7">
      <c r="A14" t="s">
        <v>64</v>
      </c>
      <c r="B14" t="s">
        <v>55</v>
      </c>
      <c r="C14" s="11">
        <f>C8 * C13</f>
        <v>892373.31539999996</v>
      </c>
      <c r="D14" s="11">
        <f t="shared" ref="D14:G14" si="4">D8 * D13</f>
        <v>997133.79205439996</v>
      </c>
      <c r="E14" s="11">
        <f t="shared" si="4"/>
        <v>1098570.7882432481</v>
      </c>
      <c r="F14" s="11">
        <f t="shared" si="4"/>
        <v>1181526.2799603483</v>
      </c>
      <c r="G14" s="11">
        <f t="shared" si="4"/>
        <v>1284023.6847469087</v>
      </c>
    </row>
    <row r="15" spans="1:7">
      <c r="A15" t="s">
        <v>65</v>
      </c>
      <c r="B15" t="s">
        <v>55</v>
      </c>
      <c r="C15" s="15">
        <f>C12 - C14</f>
        <v>1328183.5392000002</v>
      </c>
      <c r="D15" s="15">
        <f t="shared" ref="D15:G15" si="5">D12 - D14</f>
        <v>1566924.5303711998</v>
      </c>
      <c r="E15" s="15">
        <f t="shared" si="5"/>
        <v>1822019.8439156311</v>
      </c>
      <c r="F15" s="15">
        <f t="shared" si="5"/>
        <v>2067670.9899306092</v>
      </c>
      <c r="G15" s="15">
        <f t="shared" si="5"/>
        <v>2247041.4483070895</v>
      </c>
    </row>
    <row r="16" spans="1:7">
      <c r="A16" t="s">
        <v>66</v>
      </c>
      <c r="B16" t="s">
        <v>52</v>
      </c>
      <c r="C16" s="13">
        <v>0.3</v>
      </c>
      <c r="D16" s="13">
        <v>0.3</v>
      </c>
      <c r="E16" s="13">
        <v>0.3</v>
      </c>
      <c r="F16" s="13">
        <v>0.3</v>
      </c>
      <c r="G16" s="13">
        <v>0.3</v>
      </c>
    </row>
    <row r="17" spans="1:7">
      <c r="A17" t="s">
        <v>67</v>
      </c>
      <c r="B17" t="s">
        <v>55</v>
      </c>
      <c r="C17" s="11">
        <f>C15 * C16</f>
        <v>398455.06176000007</v>
      </c>
      <c r="D17" s="11">
        <f t="shared" ref="D17:G17" si="6">D15 * D16</f>
        <v>470077.35911135993</v>
      </c>
      <c r="E17" s="11">
        <f t="shared" si="6"/>
        <v>546605.95317468932</v>
      </c>
      <c r="F17" s="11">
        <f t="shared" si="6"/>
        <v>620301.29697918275</v>
      </c>
      <c r="G17" s="11">
        <f t="shared" si="6"/>
        <v>674112.43449212681</v>
      </c>
    </row>
    <row r="18" spans="1:7">
      <c r="A18" t="s">
        <v>68</v>
      </c>
      <c r="B18" t="s">
        <v>55</v>
      </c>
      <c r="C18" s="15">
        <f>C15 - C17</f>
        <v>929728.47744000016</v>
      </c>
      <c r="D18" s="15">
        <f t="shared" ref="D18:G18" si="7">D15 - D17</f>
        <v>1096847.17125984</v>
      </c>
      <c r="E18" s="15">
        <f t="shared" si="7"/>
        <v>1275413.8907409417</v>
      </c>
      <c r="F18" s="15">
        <f t="shared" si="7"/>
        <v>1447369.6929514264</v>
      </c>
      <c r="G18" s="15">
        <f t="shared" si="7"/>
        <v>1572929.0138149627</v>
      </c>
    </row>
    <row r="19" spans="1:7">
      <c r="A19" t="s">
        <v>69</v>
      </c>
    </row>
    <row r="20" spans="1:7">
      <c r="A20" t="s">
        <v>70</v>
      </c>
      <c r="B20" t="s">
        <v>52</v>
      </c>
      <c r="C20" s="12">
        <v>5.5E-2</v>
      </c>
      <c r="D20" s="12">
        <v>5.5E-2</v>
      </c>
      <c r="E20" s="12">
        <v>5.5E-2</v>
      </c>
      <c r="F20" s="12">
        <v>5.5E-2</v>
      </c>
      <c r="G20" s="12">
        <v>5.5E-2</v>
      </c>
    </row>
    <row r="21" spans="1:7">
      <c r="A21" t="s">
        <v>71</v>
      </c>
      <c r="B21" t="s">
        <v>55</v>
      </c>
      <c r="C21" s="11">
        <f>C8 * C20</f>
        <v>228281.54579999999</v>
      </c>
      <c r="D21" s="11">
        <f t="shared" ref="D21:G21" si="8">D8 * D20</f>
        <v>261154.0883952</v>
      </c>
      <c r="E21" s="11">
        <f t="shared" si="8"/>
        <v>294738.50416282268</v>
      </c>
      <c r="F21" s="11">
        <f t="shared" si="8"/>
        <v>324919.7269890958</v>
      </c>
      <c r="G21" s="11">
        <f t="shared" si="8"/>
        <v>353106.51330539986</v>
      </c>
    </row>
    <row r="22" spans="1:7">
      <c r="A22" t="s">
        <v>72</v>
      </c>
      <c r="B22" t="s">
        <v>52</v>
      </c>
      <c r="C22" s="13">
        <v>0.08</v>
      </c>
      <c r="D22" s="13">
        <v>7.4999999999999997E-2</v>
      </c>
      <c r="E22" s="13">
        <v>7.0000000000000007E-2</v>
      </c>
      <c r="F22" s="13">
        <v>6.5000000000000002E-2</v>
      </c>
      <c r="G22" s="13">
        <v>0.06</v>
      </c>
    </row>
    <row r="23" spans="1:7">
      <c r="A23" t="s">
        <v>73</v>
      </c>
      <c r="B23" t="s">
        <v>55</v>
      </c>
      <c r="C23" s="11">
        <f>C8 * C22</f>
        <v>332045.8848</v>
      </c>
      <c r="D23" s="11">
        <f t="shared" ref="D23:G23" si="9">D8 * D22</f>
        <v>356119.21144799999</v>
      </c>
      <c r="E23" s="11">
        <f t="shared" si="9"/>
        <v>375121.73257086525</v>
      </c>
      <c r="F23" s="11">
        <f t="shared" si="9"/>
        <v>383996.0409871132</v>
      </c>
      <c r="G23" s="11">
        <f t="shared" si="9"/>
        <v>385207.10542407254</v>
      </c>
    </row>
    <row r="24" spans="1:7">
      <c r="A24" t="s">
        <v>74</v>
      </c>
      <c r="B24" t="s">
        <v>52</v>
      </c>
      <c r="C24" s="12">
        <v>2.5000000000000001E-2</v>
      </c>
      <c r="D24" s="12">
        <v>2.5000000000000001E-2</v>
      </c>
      <c r="E24" s="12">
        <v>2.5000000000000001E-2</v>
      </c>
      <c r="F24" s="12">
        <v>0.02</v>
      </c>
      <c r="G24" s="12">
        <v>0.02</v>
      </c>
    </row>
    <row r="25" spans="1:7">
      <c r="A25" t="s">
        <v>75</v>
      </c>
      <c r="B25" t="s">
        <v>55</v>
      </c>
      <c r="C25" s="11">
        <f>C8 * C24</f>
        <v>103764.33900000001</v>
      </c>
      <c r="D25" s="11">
        <f t="shared" ref="D25:G25" si="10">D8 * D24</f>
        <v>118706.40381600001</v>
      </c>
      <c r="E25" s="11">
        <f t="shared" si="10"/>
        <v>133972.04734673759</v>
      </c>
      <c r="F25" s="11">
        <f t="shared" si="10"/>
        <v>118152.62799603483</v>
      </c>
      <c r="G25" s="11">
        <f t="shared" si="10"/>
        <v>128402.36847469085</v>
      </c>
    </row>
    <row r="26" spans="1:7">
      <c r="A26" t="s">
        <v>69</v>
      </c>
      <c r="B26" t="s">
        <v>55</v>
      </c>
      <c r="C26" s="15">
        <f>C18 + C21 - C23 - C25</f>
        <v>722199.79944000021</v>
      </c>
      <c r="D26" s="15">
        <f t="shared" ref="D26:G26" si="11">D18 + D21 - D23 - D25</f>
        <v>883175.64439103997</v>
      </c>
      <c r="E26" s="15">
        <f t="shared" si="11"/>
        <v>1061058.6149861617</v>
      </c>
      <c r="F26" s="15">
        <f t="shared" si="11"/>
        <v>1270140.750957374</v>
      </c>
      <c r="G26" s="15">
        <f t="shared" si="11"/>
        <v>1412426.053221599</v>
      </c>
    </row>
    <row r="27" spans="1:7">
      <c r="A27" t="s">
        <v>76</v>
      </c>
      <c r="B27" t="s">
        <v>80</v>
      </c>
      <c r="C27">
        <v>1</v>
      </c>
      <c r="D27">
        <v>2</v>
      </c>
      <c r="E27">
        <v>3</v>
      </c>
      <c r="F27">
        <v>4</v>
      </c>
      <c r="G27">
        <v>5</v>
      </c>
    </row>
    <row r="28" spans="1:7">
      <c r="A28" t="s">
        <v>77</v>
      </c>
      <c r="B28" t="s">
        <v>52</v>
      </c>
      <c r="C28" s="12">
        <v>0.185</v>
      </c>
      <c r="D28" s="12">
        <v>0.185</v>
      </c>
      <c r="E28" s="12">
        <v>0.185</v>
      </c>
      <c r="F28" s="12">
        <v>0.185</v>
      </c>
      <c r="G28" s="12">
        <v>0.185</v>
      </c>
    </row>
    <row r="29" spans="1:7">
      <c r="A29" t="s">
        <v>78</v>
      </c>
      <c r="B29" t="s">
        <v>81</v>
      </c>
      <c r="C29" s="9">
        <f>1 / ((1 + C28) ^ C27)</f>
        <v>0.8438818565400843</v>
      </c>
      <c r="D29" s="9">
        <f t="shared" ref="D29:G29" si="12">1 / ((1 + D28) ^ D27)</f>
        <v>0.71213658779753952</v>
      </c>
      <c r="E29" s="9">
        <f t="shared" si="12"/>
        <v>0.60095914582070842</v>
      </c>
      <c r="F29" s="9">
        <f t="shared" si="12"/>
        <v>0.50713851967992274</v>
      </c>
      <c r="G29" s="9">
        <f t="shared" si="12"/>
        <v>0.42796499551048334</v>
      </c>
    </row>
    <row r="30" spans="1:7">
      <c r="A30" t="s">
        <v>79</v>
      </c>
      <c r="B30" t="s">
        <v>55</v>
      </c>
      <c r="C30" s="11">
        <f>C26 * C29</f>
        <v>609451.30754430394</v>
      </c>
      <c r="D30" s="11">
        <f t="shared" ref="D30:G30" si="13">D26 * D29</f>
        <v>628941.68982252839</v>
      </c>
      <c r="E30" s="11">
        <f t="shared" si="13"/>
        <v>637652.87892778765</v>
      </c>
      <c r="F30" s="11">
        <f t="shared" si="13"/>
        <v>644137.300225668</v>
      </c>
      <c r="G30" s="11">
        <f t="shared" si="13"/>
        <v>604468.90952587128</v>
      </c>
    </row>
    <row r="32" spans="1:7" ht="29">
      <c r="A32" t="s">
        <v>82</v>
      </c>
      <c r="B32" t="s">
        <v>51</v>
      </c>
      <c r="C32" t="s">
        <v>96</v>
      </c>
      <c r="D32" s="17" t="s">
        <v>97</v>
      </c>
    </row>
    <row r="33" spans="1:7">
      <c r="A33" t="s">
        <v>83</v>
      </c>
      <c r="B33" t="s">
        <v>55</v>
      </c>
      <c r="C33" s="15">
        <f>SUM(C30:G30)</f>
        <v>3124652.0860461593</v>
      </c>
      <c r="D33" s="15"/>
    </row>
    <row r="34" spans="1:7" ht="43.5">
      <c r="A34" t="s">
        <v>84</v>
      </c>
      <c r="B34" t="s">
        <v>52</v>
      </c>
      <c r="C34" s="12">
        <v>4.4999999999999998E-2</v>
      </c>
      <c r="D34" s="17" t="s">
        <v>99</v>
      </c>
    </row>
    <row r="35" spans="1:7">
      <c r="A35" t="s">
        <v>85</v>
      </c>
      <c r="B35" t="s">
        <v>55</v>
      </c>
      <c r="C35" s="11">
        <f>(G26 * (1 + C34)) / (C28 - C34)</f>
        <v>10542751.611546934</v>
      </c>
      <c r="D35" s="11"/>
    </row>
    <row r="36" spans="1:7">
      <c r="A36" t="s">
        <v>86</v>
      </c>
      <c r="B36" t="s">
        <v>55</v>
      </c>
      <c r="C36" s="11">
        <f>C35 * G29</f>
        <v>4511928.6461038245</v>
      </c>
      <c r="D36" s="11"/>
    </row>
    <row r="37" spans="1:7">
      <c r="A37" t="s">
        <v>87</v>
      </c>
      <c r="B37" t="s">
        <v>55</v>
      </c>
      <c r="C37" s="15">
        <f>C33 + C36</f>
        <v>7636580.7321499838</v>
      </c>
      <c r="D37" s="15"/>
    </row>
    <row r="38" spans="1:7">
      <c r="A38" t="s">
        <v>88</v>
      </c>
      <c r="B38" t="s">
        <v>55</v>
      </c>
      <c r="C38" s="16">
        <f>Hist_Financials!F9</f>
        <v>2631564</v>
      </c>
      <c r="D38" s="1"/>
    </row>
    <row r="39" spans="1:7">
      <c r="A39" t="s">
        <v>89</v>
      </c>
      <c r="B39" t="s">
        <v>55</v>
      </c>
      <c r="C39" s="1">
        <f>+Hist_Financials!F8</f>
        <v>449831</v>
      </c>
      <c r="D39" s="1"/>
    </row>
    <row r="40" spans="1:7">
      <c r="A40" t="s">
        <v>90</v>
      </c>
      <c r="B40" t="s">
        <v>55</v>
      </c>
      <c r="C40" s="15">
        <f>C37 - C38 + C39</f>
        <v>5454847.7321499838</v>
      </c>
      <c r="D40" s="15"/>
    </row>
    <row r="41" spans="1:7" ht="43.5">
      <c r="A41" t="s">
        <v>91</v>
      </c>
      <c r="B41" t="s">
        <v>95</v>
      </c>
      <c r="C41" s="8">
        <v>16870</v>
      </c>
      <c r="D41" s="17" t="s">
        <v>98</v>
      </c>
    </row>
    <row r="42" spans="1:7">
      <c r="A42" t="s">
        <v>92</v>
      </c>
      <c r="B42" t="s">
        <v>54</v>
      </c>
      <c r="C42" s="3">
        <f>(C40 / C41)</f>
        <v>323.34604221398837</v>
      </c>
      <c r="D42" s="11"/>
    </row>
    <row r="43" spans="1:7" ht="29">
      <c r="A43" t="s">
        <v>93</v>
      </c>
      <c r="B43" t="s">
        <v>54</v>
      </c>
      <c r="C43" s="8">
        <v>1111</v>
      </c>
      <c r="D43" s="17" t="s">
        <v>100</v>
      </c>
    </row>
    <row r="44" spans="1:7">
      <c r="A44" t="s">
        <v>94</v>
      </c>
      <c r="B44" t="s">
        <v>52</v>
      </c>
      <c r="C44" s="5">
        <f>(C42 - C43) / C43</f>
        <v>-0.70895945795320581</v>
      </c>
      <c r="D44" s="4"/>
    </row>
    <row r="47" spans="1:7">
      <c r="A47" t="s">
        <v>102</v>
      </c>
      <c r="B47" s="12"/>
      <c r="C47" s="12"/>
      <c r="E47" s="12"/>
    </row>
    <row r="48" spans="1:7">
      <c r="A48" s="18" t="s">
        <v>103</v>
      </c>
      <c r="B48" s="19" t="s">
        <v>101</v>
      </c>
      <c r="C48" s="20">
        <v>3.5000000000000003E-2</v>
      </c>
      <c r="D48" s="20">
        <v>0.04</v>
      </c>
      <c r="E48" s="20">
        <v>4.4999999999999998E-2</v>
      </c>
      <c r="F48" s="20">
        <v>0.05</v>
      </c>
      <c r="G48" s="20">
        <v>5.5E-2</v>
      </c>
    </row>
    <row r="49" spans="1:11">
      <c r="A49" s="19" t="s">
        <v>104</v>
      </c>
      <c r="B49" s="19">
        <v>0.16500000000000001</v>
      </c>
      <c r="C49" s="21">
        <f>((NPV($B49, $C$26:$G$26) + (($G$26 * (1 + C$48)) / ($B49 - C$48)) / ((1 + $B49)^5)) - $C$38 + $C$39) / $C$41</f>
        <v>376.26993284626013</v>
      </c>
      <c r="D49" s="21">
        <f>((NPV($B49, $C$26:$G$26) + (($G$26 * (1 + D$48)) / ($B49 - D$48)) / ((1 + $B49)^5)) - $C$38 + $C$39) / $C$41</f>
        <v>390.25496840071446</v>
      </c>
      <c r="E49" s="21">
        <f t="shared" ref="D49:G53" si="14">((NPV($B49, $C$26:$G$26) + (($G$26 * (1 + E$48)) / ($B49 - E$48)) / ((1 + $B49)^5)) - $C$38 + $C$39) / $C$41</f>
        <v>405.40542358470663</v>
      </c>
      <c r="F49" s="21">
        <f t="shared" si="14"/>
        <v>421.87330965426338</v>
      </c>
      <c r="G49" s="21">
        <f t="shared" si="14"/>
        <v>439.83827627559799</v>
      </c>
    </row>
    <row r="50" spans="1:11">
      <c r="A50" s="19" t="s">
        <v>105</v>
      </c>
      <c r="B50" s="19">
        <v>0.17499999999999999</v>
      </c>
      <c r="C50" s="21">
        <f t="shared" ref="C50:C53" si="15">((NPV($B50, $C$26:$G$26) + (($G$26 * (1 + C$48)) / ($B50 - C$48)) / ((1 + $B50)^5)) - $C$38 + $C$39) / $C$41</f>
        <v>337.03769659944072</v>
      </c>
      <c r="D50" s="21">
        <f t="shared" si="14"/>
        <v>348.65772985535955</v>
      </c>
      <c r="E50" s="21">
        <f t="shared" si="14"/>
        <v>361.17161182327197</v>
      </c>
      <c r="F50" s="21">
        <f t="shared" si="14"/>
        <v>374.68660434861761</v>
      </c>
      <c r="G50" s="21">
        <f t="shared" si="14"/>
        <v>389.32784625107502</v>
      </c>
    </row>
    <row r="51" spans="1:11">
      <c r="A51" s="18" t="s">
        <v>106</v>
      </c>
      <c r="B51" s="19">
        <v>0.185</v>
      </c>
      <c r="C51" s="21">
        <f t="shared" si="15"/>
        <v>303.12712280822001</v>
      </c>
      <c r="D51" s="21">
        <f t="shared" si="14"/>
        <v>312.88798045238406</v>
      </c>
      <c r="E51" s="22">
        <f t="shared" si="14"/>
        <v>323.34604221398837</v>
      </c>
      <c r="F51" s="21">
        <f t="shared" si="14"/>
        <v>334.57877521719303</v>
      </c>
      <c r="G51" s="21">
        <f t="shared" si="14"/>
        <v>346.67556460525958</v>
      </c>
    </row>
    <row r="52" spans="1:11">
      <c r="A52" s="19" t="s">
        <v>107</v>
      </c>
      <c r="B52" s="19">
        <v>0.19500000000000001</v>
      </c>
      <c r="C52" s="21">
        <f t="shared" si="15"/>
        <v>273.53689036517881</v>
      </c>
      <c r="D52" s="21">
        <f t="shared" si="14"/>
        <v>281.81435510873922</v>
      </c>
      <c r="E52" s="21">
        <f t="shared" si="14"/>
        <v>290.64365083520363</v>
      </c>
      <c r="F52" s="21">
        <f t="shared" si="14"/>
        <v>300.08186350832085</v>
      </c>
      <c r="G52" s="21">
        <f t="shared" si="14"/>
        <v>310.19423422951775</v>
      </c>
    </row>
    <row r="53" spans="1:11" ht="15" thickBot="1">
      <c r="A53" s="23" t="s">
        <v>108</v>
      </c>
      <c r="B53" s="23">
        <v>0.20499999999999999</v>
      </c>
      <c r="C53" s="24">
        <f t="shared" si="15"/>
        <v>247.50144979509614</v>
      </c>
      <c r="D53" s="24">
        <f t="shared" si="14"/>
        <v>254.57992293389108</v>
      </c>
      <c r="E53" s="24">
        <f t="shared" si="14"/>
        <v>262.10080064386062</v>
      </c>
      <c r="F53" s="24">
        <f t="shared" si="14"/>
        <v>270.10689627060248</v>
      </c>
      <c r="G53" s="24">
        <f>((NPV($B53, $C$26:$G$26) + (($G$26 * (1 + G$48)) / ($B53 - G$48)) / ((1 + $B53)^5)) - $C$38 + $C$39) / $C$41</f>
        <v>278.64673160579372</v>
      </c>
    </row>
    <row r="54" spans="1:11" ht="15" thickTop="1"/>
    <row r="56" spans="1:11">
      <c r="A56" t="s">
        <v>109</v>
      </c>
      <c r="B56" t="s">
        <v>129</v>
      </c>
      <c r="C56" t="s">
        <v>130</v>
      </c>
      <c r="D56" t="s">
        <v>131</v>
      </c>
      <c r="E56" t="s">
        <v>132</v>
      </c>
      <c r="F56" t="s">
        <v>133</v>
      </c>
      <c r="G56" t="s">
        <v>56</v>
      </c>
      <c r="H56" t="s">
        <v>57</v>
      </c>
      <c r="I56" t="s">
        <v>58</v>
      </c>
      <c r="J56" t="s">
        <v>59</v>
      </c>
      <c r="K56" t="s">
        <v>60</v>
      </c>
    </row>
    <row r="57" spans="1:11">
      <c r="A57" t="s">
        <v>80</v>
      </c>
      <c r="B57">
        <v>2020</v>
      </c>
      <c r="C57">
        <v>2021</v>
      </c>
      <c r="D57">
        <v>2022</v>
      </c>
      <c r="E57">
        <v>2023</v>
      </c>
      <c r="F57">
        <v>2024</v>
      </c>
      <c r="G57">
        <v>2025</v>
      </c>
      <c r="H57">
        <v>2026</v>
      </c>
      <c r="I57">
        <v>2027</v>
      </c>
      <c r="J57">
        <v>2028</v>
      </c>
      <c r="K57">
        <v>2029</v>
      </c>
    </row>
    <row r="58" spans="1:11">
      <c r="A58" t="s">
        <v>134</v>
      </c>
      <c r="B58" s="10">
        <f>Hist_Financials!B2 / 1000</f>
        <v>1029.9970000000001</v>
      </c>
      <c r="C58" s="10">
        <f>Hist_Financials!C2 / 1000</f>
        <v>1383.6369999999999</v>
      </c>
      <c r="D58" s="10">
        <f>Hist_Financials!D2 / 1000</f>
        <v>1618.3230000000001</v>
      </c>
      <c r="E58" s="10">
        <f>Hist_Financials!E2 / 1000</f>
        <v>2208.09</v>
      </c>
      <c r="F58" s="10">
        <f>Hist_Financials!F2 / 1000</f>
        <v>3580.55</v>
      </c>
      <c r="G58" s="10">
        <f>Forecast_Model!C8 / 1000</f>
        <v>4150.5735599999998</v>
      </c>
      <c r="H58" s="10">
        <f>Forecast_Model!D8 / 1000</f>
        <v>4748.2561526400004</v>
      </c>
      <c r="I58" s="10">
        <f>Forecast_Model!E8 / 1000</f>
        <v>5358.8818938695031</v>
      </c>
      <c r="J58" s="10">
        <f>Forecast_Model!F8 / 1000</f>
        <v>5907.6313998017413</v>
      </c>
      <c r="K58" s="10">
        <f>Forecast_Model!G8 / 1000</f>
        <v>6420.1184237345433</v>
      </c>
    </row>
    <row r="59" spans="1:11">
      <c r="A59" t="s">
        <v>135</v>
      </c>
      <c r="B59" s="5">
        <f>Hist_Financials!B16 / Hist_Financials!B2</f>
        <v>0.4641974685363161</v>
      </c>
      <c r="C59" s="5">
        <f>Hist_Financials!C16 / Hist_Financials!C2</f>
        <v>0.49477717060182691</v>
      </c>
      <c r="D59" s="5">
        <f>Hist_Financials!D16 / Hist_Financials!D2</f>
        <v>0.43763636801800382</v>
      </c>
      <c r="E59" s="5">
        <f>Hist_Financials!E16 / Hist_Financials!E2</f>
        <v>0.40129704858044735</v>
      </c>
      <c r="F59" s="5">
        <f>Hist_Financials!F16 / Hist_Financials!F2</f>
        <v>0.3854156484338998</v>
      </c>
      <c r="G59" s="5">
        <f>(C15+C21)/C8</f>
        <v>0.37500000000000006</v>
      </c>
      <c r="H59" s="5">
        <f t="shared" ref="H59:K59" si="16">(D15+D21)/D8</f>
        <v>0.38499999999999995</v>
      </c>
      <c r="I59" s="5">
        <f t="shared" si="16"/>
        <v>0.39500000000000002</v>
      </c>
      <c r="J59" s="5">
        <f t="shared" si="16"/>
        <v>0.40500000000000003</v>
      </c>
      <c r="K59" s="5">
        <f t="shared" si="16"/>
        <v>0.40499999999999997</v>
      </c>
    </row>
    <row r="61" spans="1:11">
      <c r="A61" t="s">
        <v>109</v>
      </c>
      <c r="B61" t="s">
        <v>56</v>
      </c>
      <c r="C61" t="s">
        <v>57</v>
      </c>
      <c r="D61" t="s">
        <v>58</v>
      </c>
      <c r="E61" t="s">
        <v>59</v>
      </c>
      <c r="F61" t="s">
        <v>60</v>
      </c>
    </row>
    <row r="62" spans="1:11">
      <c r="A62" t="s">
        <v>136</v>
      </c>
      <c r="B62" s="14">
        <f>C26/1000</f>
        <v>722.19979944000022</v>
      </c>
      <c r="C62" s="14">
        <f t="shared" ref="C62:F62" si="17">D26/1000</f>
        <v>883.17564439104001</v>
      </c>
      <c r="D62" s="14">
        <f t="shared" si="17"/>
        <v>1061.0586149861617</v>
      </c>
      <c r="E62" s="14">
        <f t="shared" si="17"/>
        <v>1270.1407509573739</v>
      </c>
      <c r="F62" s="14">
        <f t="shared" si="17"/>
        <v>1412.426053221599</v>
      </c>
    </row>
    <row r="63" spans="1:11">
      <c r="A63" t="s">
        <v>137</v>
      </c>
      <c r="B63" s="5">
        <f>C26/(C15 + C21)</f>
        <v>0.46400000000000008</v>
      </c>
      <c r="C63" s="5">
        <f t="shared" ref="C63:F63" si="18">D26/(D15 + D21)</f>
        <v>0.48311688311688317</v>
      </c>
      <c r="D63" s="5">
        <f t="shared" si="18"/>
        <v>0.50126582278481013</v>
      </c>
      <c r="E63" s="5">
        <f t="shared" si="18"/>
        <v>0.530864197530864</v>
      </c>
      <c r="F63" s="5">
        <f t="shared" si="18"/>
        <v>0.54320987654320974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3AE5-3D6A-4E5F-AE3E-2D598148CE40}">
  <dimension ref="A1:E16"/>
  <sheetViews>
    <sheetView tabSelected="1" topLeftCell="A3" workbookViewId="0">
      <selection activeCell="B4" sqref="B4:E16"/>
    </sheetView>
  </sheetViews>
  <sheetFormatPr defaultRowHeight="14.5"/>
  <cols>
    <col min="1" max="1" width="32" customWidth="1"/>
    <col min="2" max="2" width="15" customWidth="1"/>
    <col min="3" max="3" width="13.1796875" customWidth="1"/>
    <col min="4" max="4" width="13.36328125" customWidth="1"/>
  </cols>
  <sheetData>
    <row r="1" spans="1:5" ht="29">
      <c r="A1" s="25" t="s">
        <v>109</v>
      </c>
      <c r="B1" s="26" t="s">
        <v>110</v>
      </c>
      <c r="C1" s="26" t="s">
        <v>111</v>
      </c>
      <c r="D1" s="26" t="s">
        <v>112</v>
      </c>
      <c r="E1" s="26" t="s">
        <v>113</v>
      </c>
    </row>
    <row r="2" spans="1:5">
      <c r="A2" s="25" t="s">
        <v>114</v>
      </c>
      <c r="B2" s="18"/>
      <c r="C2" s="18"/>
      <c r="D2" s="18"/>
      <c r="E2" s="18"/>
    </row>
    <row r="3" spans="1:5">
      <c r="A3" s="18" t="s">
        <v>115</v>
      </c>
      <c r="B3" s="27">
        <v>1111</v>
      </c>
      <c r="C3" s="21">
        <v>112</v>
      </c>
      <c r="D3" s="21">
        <v>36.5</v>
      </c>
      <c r="E3" s="18"/>
    </row>
    <row r="4" spans="1:5">
      <c r="A4" s="18" t="s">
        <v>116</v>
      </c>
      <c r="B4" s="27">
        <v>16870</v>
      </c>
      <c r="C4" s="21">
        <v>33864</v>
      </c>
      <c r="D4" s="27">
        <v>16108</v>
      </c>
      <c r="E4" s="18"/>
    </row>
    <row r="5" spans="1:5">
      <c r="A5" s="18" t="s">
        <v>117</v>
      </c>
      <c r="B5" s="28">
        <f>B3*B4</f>
        <v>18742570</v>
      </c>
      <c r="C5" s="28">
        <f>C3*C4</f>
        <v>3792768</v>
      </c>
      <c r="D5" s="28">
        <f t="shared" ref="C5:D5" si="0">D3*D4</f>
        <v>587942</v>
      </c>
      <c r="E5" s="18"/>
    </row>
    <row r="6" spans="1:5">
      <c r="A6" s="25" t="s">
        <v>118</v>
      </c>
      <c r="B6" s="18"/>
      <c r="C6" s="18"/>
      <c r="D6" s="18"/>
      <c r="E6" s="18"/>
    </row>
    <row r="7" spans="1:5">
      <c r="A7" s="18" t="s">
        <v>119</v>
      </c>
      <c r="B7" s="29">
        <v>2181733</v>
      </c>
      <c r="C7" s="29">
        <v>412500</v>
      </c>
      <c r="D7" s="29">
        <v>-65400</v>
      </c>
      <c r="E7" s="18"/>
    </row>
    <row r="8" spans="1:5">
      <c r="A8" s="30" t="s">
        <v>120</v>
      </c>
      <c r="B8" s="31">
        <f>B5+B7</f>
        <v>20924303</v>
      </c>
      <c r="C8" s="31">
        <f>C5+C7</f>
        <v>4205268</v>
      </c>
      <c r="D8" s="31">
        <f>D5+D7</f>
        <v>522542</v>
      </c>
      <c r="E8" s="18"/>
    </row>
    <row r="9" spans="1:5">
      <c r="A9" s="25" t="s">
        <v>121</v>
      </c>
      <c r="B9" s="18"/>
      <c r="C9" s="18"/>
      <c r="D9" s="18"/>
      <c r="E9" s="18"/>
    </row>
    <row r="10" spans="1:5">
      <c r="A10" s="18" t="s">
        <v>122</v>
      </c>
      <c r="B10" s="29">
        <v>3580550</v>
      </c>
      <c r="C10" s="29">
        <v>680200</v>
      </c>
      <c r="D10" s="29">
        <v>450100</v>
      </c>
      <c r="E10" s="18"/>
    </row>
    <row r="11" spans="1:5">
      <c r="A11" s="18" t="s">
        <v>123</v>
      </c>
      <c r="B11" s="29">
        <v>1380000</v>
      </c>
      <c r="C11" s="32">
        <v>215400</v>
      </c>
      <c r="D11" s="29">
        <v>145200</v>
      </c>
      <c r="E11" s="18"/>
    </row>
    <row r="12" spans="1:5">
      <c r="A12" s="18" t="s">
        <v>124</v>
      </c>
      <c r="B12" s="29">
        <v>503247</v>
      </c>
      <c r="C12" s="29">
        <v>73200</v>
      </c>
      <c r="D12" s="29">
        <v>85100</v>
      </c>
      <c r="E12" s="18"/>
    </row>
    <row r="13" spans="1:5">
      <c r="A13" s="25" t="s">
        <v>125</v>
      </c>
      <c r="B13" s="18"/>
      <c r="C13" s="18"/>
      <c r="D13" s="18"/>
      <c r="E13" s="18"/>
    </row>
    <row r="14" spans="1:5">
      <c r="A14" s="18" t="s">
        <v>126</v>
      </c>
      <c r="B14" s="33">
        <f>B8/B11</f>
        <v>15.162538405797102</v>
      </c>
      <c r="C14" s="33">
        <f>C8/C11</f>
        <v>19.523064066852367</v>
      </c>
      <c r="D14" s="33">
        <f t="shared" ref="C14:E14" si="1">D8/D11</f>
        <v>3.5987741046831956</v>
      </c>
      <c r="E14" s="33">
        <f>AVERAGE(C14:D14)</f>
        <v>11.560919085767781</v>
      </c>
    </row>
    <row r="15" spans="1:5">
      <c r="A15" s="18" t="s">
        <v>127</v>
      </c>
      <c r="B15" s="21">
        <f>B5/B12</f>
        <v>37.243282125874572</v>
      </c>
      <c r="C15" s="21">
        <f t="shared" ref="C15:D15" si="2">C5/C12</f>
        <v>51.813770491803275</v>
      </c>
      <c r="D15" s="21">
        <f>D5/D12</f>
        <v>6.9088366627497066</v>
      </c>
      <c r="E15" s="21">
        <f>AVERAGE(C15:D15)</f>
        <v>29.361303577276491</v>
      </c>
    </row>
    <row r="16" spans="1:5">
      <c r="A16" s="18" t="s">
        <v>128</v>
      </c>
      <c r="B16" s="21">
        <f>B8/B10</f>
        <v>5.8438795715741998</v>
      </c>
      <c r="C16" s="21">
        <f t="shared" ref="C16:D16" si="3">C8/C10</f>
        <v>6.1823992943251982</v>
      </c>
      <c r="D16" s="21">
        <f t="shared" si="3"/>
        <v>1.1609464563430349</v>
      </c>
      <c r="E16" s="21">
        <f>AVERAGE(C16:D16)</f>
        <v>3.6716728753341163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Hist_Financials</vt:lpstr>
      <vt:lpstr>Forecast_Model</vt:lpstr>
      <vt:lpstr>Comps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</dc:creator>
  <cp:lastModifiedBy>EBEN</cp:lastModifiedBy>
  <dcterms:created xsi:type="dcterms:W3CDTF">2026-10-26T09:21:51Z</dcterms:created>
  <dcterms:modified xsi:type="dcterms:W3CDTF">2026-10-28T07:37:14Z</dcterms:modified>
</cp:coreProperties>
</file>